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bookViews>
    <workbookView xWindow="0" yWindow="0" windowWidth="38400" windowHeight="175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G2" i="1"/>
  <c r="F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I2" i="1" l="1"/>
</calcChain>
</file>

<file path=xl/sharedStrings.xml><?xml version="1.0" encoding="utf-8"?>
<sst xmlns="http://schemas.openxmlformats.org/spreadsheetml/2006/main" count="29" uniqueCount="28">
  <si>
    <t>№</t>
  </si>
  <si>
    <t>Ф.И.О.</t>
  </si>
  <si>
    <t>Надбавка</t>
  </si>
  <si>
    <t>Начислено</t>
  </si>
  <si>
    <t>К выдаче</t>
  </si>
  <si>
    <t xml:space="preserve"> Иванов Сергей Кириллович</t>
  </si>
  <si>
    <t>Смирнова Анна Викторовна</t>
  </si>
  <si>
    <t>Кузнецов Дмитрий Олегович</t>
  </si>
  <si>
    <t>Попова Елена Андреевна</t>
  </si>
  <si>
    <t>Васильев Максим Игорьевич</t>
  </si>
  <si>
    <t>Новикова Ольга Сергеевна</t>
  </si>
  <si>
    <t>Морозов Алексей Николаевич</t>
  </si>
  <si>
    <t>Фёдорова Мария Дмитриевна</t>
  </si>
  <si>
    <t>Волков Артём Александрович</t>
  </si>
  <si>
    <t>Соколова Татьяна Юрьевна</t>
  </si>
  <si>
    <t>Начальник отдела</t>
  </si>
  <si>
    <t>Главный бухгалтер</t>
  </si>
  <si>
    <t>Инженер</t>
  </si>
  <si>
    <t>Экономист</t>
  </si>
  <si>
    <t>Программист</t>
  </si>
  <si>
    <t>Менеджер</t>
  </si>
  <si>
    <t>Секретарь</t>
  </si>
  <si>
    <t>Техник</t>
  </si>
  <si>
    <t>Бухгалтер</t>
  </si>
  <si>
    <t>Cтаж работы(лет)</t>
  </si>
  <si>
    <t>Оклад</t>
  </si>
  <si>
    <t>Должность</t>
  </si>
  <si>
    <t>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</si>
</sst>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</a:t>
            </a:r>
            <a:r>
              <a:rPr lang="en-US"/>
              <a:t>/</a:t>
            </a:r>
            <a:r>
              <a:rPr lang="ru-RU"/>
              <a:t>П</a:t>
            </a:r>
            <a:r>
              <a:rPr lang="ru-RU" baseline="0"/>
              <a:t> сотрудников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Лист1!$B$2:$B$11</c:f>
              <c:strCache>
                <c:ptCount val="10"/>
                <c:pt idx="0">
                  <c:v> Иванов Сергей Кириллович</c:v>
                </c:pt>
                <c:pt idx="1">
                  <c:v>Смирнова Анна Викторовна</c:v>
                </c:pt>
                <c:pt idx="2">
                  <c:v>Кузнецов Дмитрий Олегович</c:v>
                </c:pt>
                <c:pt idx="3">
                  <c:v>Попова Елена Андреевна</c:v>
                </c:pt>
                <c:pt idx="4">
                  <c:v>Васильев Максим Игорьевич</c:v>
                </c:pt>
                <c:pt idx="5">
                  <c:v>Новикова Ольга Сергеевна</c:v>
                </c:pt>
                <c:pt idx="6">
                  <c:v>Морозов Алексей Николаевич</c:v>
                </c:pt>
                <c:pt idx="7">
                  <c:v>Фёдорова Мария Дмитриевна</c:v>
                </c:pt>
                <c:pt idx="8">
                  <c:v>Волков Артём Александрович</c:v>
                </c:pt>
                <c:pt idx="9">
                  <c:v>Соколова Татьяна Юрьевна</c:v>
                </c:pt>
              </c:strCache>
            </c:strRef>
          </c:cat>
          <c:val>
            <c:numRef>
              <c:f>Лист1!$I$2:$I$11</c:f>
              <c:numCache>
                <c:formatCode>General</c:formatCode>
                <c:ptCount val="10"/>
                <c:pt idx="0">
                  <c:v>72000</c:v>
                </c:pt>
                <c:pt idx="1">
                  <c:v>60000</c:v>
                </c:pt>
                <c:pt idx="2">
                  <c:v>48000</c:v>
                </c:pt>
                <c:pt idx="3">
                  <c:v>43500</c:v>
                </c:pt>
                <c:pt idx="4">
                  <c:v>56000</c:v>
                </c:pt>
                <c:pt idx="5">
                  <c:v>39150</c:v>
                </c:pt>
                <c:pt idx="6">
                  <c:v>45240</c:v>
                </c:pt>
                <c:pt idx="7">
                  <c:v>34800</c:v>
                </c:pt>
                <c:pt idx="8">
                  <c:v>34800</c:v>
                </c:pt>
                <c:pt idx="9">
                  <c:v>46110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E-41D1-B740-0A6E0B12E4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7497952"/>
        <c:axId val="627486720"/>
        <c:axId val="0"/>
      </c:bar3DChart>
      <c:catAx>
        <c:axId val="6274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486720"/>
        <c:crosses val="autoZero"/>
        <c:auto val="1"/>
        <c:lblAlgn val="ctr"/>
        <c:lblOffset val="100"/>
        <c:noMultiLvlLbl val="0"/>
      </c:catAx>
      <c:valAx>
        <c:axId val="6274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7497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13</xdr:row>
      <xdr:rowOff>9525</xdr:rowOff>
    </xdr:from>
    <xdr:to>
      <xdr:col>3</xdr:col>
      <xdr:colOff>933450</xdr:colOff>
      <xdr:row>27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K7" sqref="K7"/>
    </sheetView>
  </sheetViews>
  <sheetFormatPr defaultRowHeight="15" x14ac:dyDescent="0.25"/>
  <cols>
    <col min="1" max="1" width="4.42578125" customWidth="1"/>
    <col min="2" max="2" width="41" customWidth="1"/>
    <col min="3" max="3" width="20.28515625" customWidth="1"/>
    <col min="4" max="4" width="17.7109375" customWidth="1"/>
    <col min="5" max="5" width="16.85546875" customWidth="1"/>
    <col min="6" max="6" width="17.5703125" customWidth="1"/>
    <col min="7" max="8" width="17" customWidth="1"/>
    <col min="9" max="9" width="15.7109375" customWidth="1"/>
  </cols>
  <sheetData>
    <row r="1" spans="1:9" x14ac:dyDescent="0.25">
      <c r="A1" s="1" t="s">
        <v>0</v>
      </c>
      <c r="B1" s="1" t="s">
        <v>1</v>
      </c>
      <c r="C1" s="1" t="s">
        <v>26</v>
      </c>
      <c r="D1" s="1" t="s">
        <v>25</v>
      </c>
      <c r="E1" s="1" t="s">
        <v>24</v>
      </c>
      <c r="F1" s="1" t="s">
        <v>2</v>
      </c>
      <c r="G1" s="1" t="s">
        <v>3</v>
      </c>
      <c r="H1" s="1" t="s">
        <v>27</v>
      </c>
      <c r="I1" s="1" t="s">
        <v>4</v>
      </c>
    </row>
    <row r="2" spans="1:9" x14ac:dyDescent="0.25">
      <c r="A2" s="1">
        <v>1</v>
      </c>
      <c r="B2" s="1" t="s">
        <v>5</v>
      </c>
      <c r="C2" s="1" t="s">
        <v>15</v>
      </c>
      <c r="D2" s="1">
        <v>85000</v>
      </c>
      <c r="E2" s="1">
        <v>12</v>
      </c>
      <c r="F2" s="1">
        <f>IF(E2&gt;3,5000,0)</f>
        <v>5000</v>
      </c>
      <c r="G2" s="1">
        <f>D2+F2</f>
        <v>90000</v>
      </c>
      <c r="H2" s="1">
        <f>IF(D2&lt;55000, G2*13%, G2*20%)</f>
        <v>18000</v>
      </c>
      <c r="I2" s="1">
        <f>G2-H2</f>
        <v>72000</v>
      </c>
    </row>
    <row r="3" spans="1:9" x14ac:dyDescent="0.25">
      <c r="A3" s="1">
        <v>2</v>
      </c>
      <c r="B3" s="1" t="s">
        <v>6</v>
      </c>
      <c r="C3" s="1" t="s">
        <v>16</v>
      </c>
      <c r="D3" s="1">
        <v>70000</v>
      </c>
      <c r="E3" s="1">
        <v>8</v>
      </c>
      <c r="F3" s="1">
        <f t="shared" ref="F3:F11" si="0">IF(E3&gt;3,5000,0)</f>
        <v>5000</v>
      </c>
      <c r="G3" s="1">
        <f t="shared" ref="G3:G11" si="1">D3+F3</f>
        <v>75000</v>
      </c>
      <c r="H3" s="1">
        <f t="shared" ref="H3:H11" si="2">IF(D3&lt;55000, G3*13%, G3*20%)</f>
        <v>15000</v>
      </c>
      <c r="I3" s="1">
        <f t="shared" ref="I3:I11" si="3">G3-H3</f>
        <v>60000</v>
      </c>
    </row>
    <row r="4" spans="1:9" x14ac:dyDescent="0.25">
      <c r="A4" s="1">
        <v>3</v>
      </c>
      <c r="B4" s="1" t="s">
        <v>7</v>
      </c>
      <c r="C4" s="1" t="s">
        <v>17</v>
      </c>
      <c r="D4" s="1">
        <v>55000</v>
      </c>
      <c r="E4" s="1">
        <v>5</v>
      </c>
      <c r="F4" s="1">
        <f t="shared" si="0"/>
        <v>5000</v>
      </c>
      <c r="G4" s="1">
        <f t="shared" si="1"/>
        <v>60000</v>
      </c>
      <c r="H4" s="1">
        <f t="shared" si="2"/>
        <v>12000</v>
      </c>
      <c r="I4" s="1">
        <f t="shared" si="3"/>
        <v>48000</v>
      </c>
    </row>
    <row r="5" spans="1:9" x14ac:dyDescent="0.25">
      <c r="A5" s="1">
        <v>4</v>
      </c>
      <c r="B5" s="1" t="s">
        <v>8</v>
      </c>
      <c r="C5" s="1" t="s">
        <v>18</v>
      </c>
      <c r="D5" s="1">
        <v>50000</v>
      </c>
      <c r="E5" s="1">
        <v>2</v>
      </c>
      <c r="F5" s="1">
        <f t="shared" si="0"/>
        <v>0</v>
      </c>
      <c r="G5" s="1">
        <f t="shared" si="1"/>
        <v>50000</v>
      </c>
      <c r="H5" s="1">
        <f t="shared" si="2"/>
        <v>6500</v>
      </c>
      <c r="I5" s="1">
        <f t="shared" si="3"/>
        <v>43500</v>
      </c>
    </row>
    <row r="6" spans="1:9" x14ac:dyDescent="0.25">
      <c r="A6" s="1">
        <v>5</v>
      </c>
      <c r="B6" s="1" t="s">
        <v>9</v>
      </c>
      <c r="C6" s="1" t="s">
        <v>19</v>
      </c>
      <c r="D6" s="1">
        <v>65000</v>
      </c>
      <c r="E6" s="1">
        <v>4</v>
      </c>
      <c r="F6" s="1">
        <f t="shared" si="0"/>
        <v>5000</v>
      </c>
      <c r="G6" s="1">
        <f t="shared" si="1"/>
        <v>70000</v>
      </c>
      <c r="H6" s="1">
        <f t="shared" si="2"/>
        <v>14000</v>
      </c>
      <c r="I6" s="1">
        <f t="shared" si="3"/>
        <v>56000</v>
      </c>
    </row>
    <row r="7" spans="1:9" x14ac:dyDescent="0.25">
      <c r="A7" s="1">
        <v>6</v>
      </c>
      <c r="B7" s="1" t="s">
        <v>10</v>
      </c>
      <c r="C7" s="1" t="s">
        <v>20</v>
      </c>
      <c r="D7" s="1">
        <v>45000</v>
      </c>
      <c r="E7" s="1">
        <v>1</v>
      </c>
      <c r="F7" s="1">
        <f t="shared" si="0"/>
        <v>0</v>
      </c>
      <c r="G7" s="1">
        <f t="shared" si="1"/>
        <v>45000</v>
      </c>
      <c r="H7" s="1">
        <f t="shared" si="2"/>
        <v>5850</v>
      </c>
      <c r="I7" s="1">
        <f t="shared" si="3"/>
        <v>39150</v>
      </c>
    </row>
    <row r="8" spans="1:9" x14ac:dyDescent="0.25">
      <c r="A8" s="1">
        <v>7</v>
      </c>
      <c r="B8" s="1" t="s">
        <v>11</v>
      </c>
      <c r="C8" s="1" t="s">
        <v>17</v>
      </c>
      <c r="D8" s="1">
        <v>52000</v>
      </c>
      <c r="E8" s="1">
        <v>3</v>
      </c>
      <c r="F8" s="1">
        <f t="shared" si="0"/>
        <v>0</v>
      </c>
      <c r="G8" s="1">
        <f t="shared" si="1"/>
        <v>52000</v>
      </c>
      <c r="H8" s="1">
        <f t="shared" si="2"/>
        <v>6760</v>
      </c>
      <c r="I8" s="1">
        <f t="shared" si="3"/>
        <v>45240</v>
      </c>
    </row>
    <row r="9" spans="1:9" x14ac:dyDescent="0.25">
      <c r="A9" s="1">
        <v>8</v>
      </c>
      <c r="B9" s="1" t="s">
        <v>12</v>
      </c>
      <c r="C9" s="1" t="s">
        <v>21</v>
      </c>
      <c r="D9" s="1">
        <v>35000</v>
      </c>
      <c r="E9" s="1">
        <v>6</v>
      </c>
      <c r="F9" s="1">
        <f t="shared" si="0"/>
        <v>5000</v>
      </c>
      <c r="G9" s="1">
        <f t="shared" si="1"/>
        <v>40000</v>
      </c>
      <c r="H9" s="1">
        <f t="shared" si="2"/>
        <v>5200</v>
      </c>
      <c r="I9" s="1">
        <f t="shared" si="3"/>
        <v>34800</v>
      </c>
    </row>
    <row r="10" spans="1:9" x14ac:dyDescent="0.25">
      <c r="A10" s="1">
        <v>9</v>
      </c>
      <c r="B10" s="1" t="s">
        <v>13</v>
      </c>
      <c r="C10" s="1" t="s">
        <v>22</v>
      </c>
      <c r="D10" s="1">
        <v>40000</v>
      </c>
      <c r="E10" s="1">
        <v>0</v>
      </c>
      <c r="F10" s="1">
        <f t="shared" si="0"/>
        <v>0</v>
      </c>
      <c r="G10" s="1">
        <f t="shared" si="1"/>
        <v>40000</v>
      </c>
      <c r="H10" s="1">
        <f t="shared" si="2"/>
        <v>5200</v>
      </c>
      <c r="I10" s="1">
        <f t="shared" si="3"/>
        <v>34800</v>
      </c>
    </row>
    <row r="11" spans="1:9" x14ac:dyDescent="0.25">
      <c r="A11" s="1">
        <v>10</v>
      </c>
      <c r="B11" s="1" t="s">
        <v>14</v>
      </c>
      <c r="C11" s="1" t="s">
        <v>23</v>
      </c>
      <c r="D11" s="1">
        <v>48000</v>
      </c>
      <c r="E11" s="1">
        <v>7</v>
      </c>
      <c r="F11" s="1">
        <f t="shared" si="0"/>
        <v>5000</v>
      </c>
      <c r="G11" s="1">
        <f t="shared" si="1"/>
        <v>53000</v>
      </c>
      <c r="H11" s="1">
        <f t="shared" si="2"/>
        <v>6890</v>
      </c>
      <c r="I11" s="1">
        <f>G11-H11</f>
        <v>46110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2026-10-21T06:19:07Z</dcterms:created>
  <dcterms:modified xsi:type="dcterms:W3CDTF">2026-10-21T06:45:54Z</dcterms:modified>
</cp:coreProperties>
</file>